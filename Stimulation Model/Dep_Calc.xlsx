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Science\Repo\Coach_X\Excel\Projects\Depreciation Calculator\"/>
    </mc:Choice>
  </mc:AlternateContent>
  <xr:revisionPtr revIDLastSave="0" documentId="13_ncr:1_{DFB85F54-5F86-464F-9C48-D8B6CEE6981C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Inputs" sheetId="1" r:id="rId1"/>
    <sheet name="Schdule_DB" sheetId="3" r:id="rId2"/>
    <sheet name="Schedule_SL" sheetId="2" r:id="rId3"/>
    <sheet name="Analysis" sheetId="4" r:id="rId4"/>
    <sheet name="Calculato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F2" i="1" l="1"/>
  <c r="B2" i="2" l="1"/>
  <c r="B2" i="3"/>
  <c r="G2" i="1"/>
  <c r="C2" i="2" s="1"/>
  <c r="H2" i="1"/>
  <c r="C3" i="2" l="1"/>
  <c r="D2" i="4"/>
  <c r="C2" i="3"/>
  <c r="E2" i="4" s="1"/>
  <c r="D2" i="2"/>
  <c r="D2" i="3" l="1"/>
  <c r="B3" i="2"/>
  <c r="D3" i="2" s="1"/>
  <c r="B2" i="4"/>
  <c r="C4" i="2"/>
  <c r="D3" i="4"/>
  <c r="C5" i="2" l="1"/>
  <c r="D4" i="4"/>
  <c r="B4" i="2"/>
  <c r="D4" i="2" s="1"/>
  <c r="B3" i="4"/>
  <c r="B3" i="3"/>
  <c r="C2" i="4"/>
  <c r="B5" i="2" l="1"/>
  <c r="D5" i="2" s="1"/>
  <c r="B4" i="4"/>
  <c r="C3" i="3"/>
  <c r="E3" i="4" s="1"/>
  <c r="C6" i="2"/>
  <c r="D5" i="4"/>
  <c r="D3" i="3" l="1"/>
  <c r="C7" i="2"/>
  <c r="D6" i="4"/>
  <c r="B6" i="2"/>
  <c r="D6" i="2" s="1"/>
  <c r="B5" i="4"/>
  <c r="B7" i="2" l="1"/>
  <c r="D7" i="2" s="1"/>
  <c r="B6" i="4"/>
  <c r="C8" i="2"/>
  <c r="D7" i="4"/>
  <c r="B4" i="3"/>
  <c r="C4" i="3" s="1"/>
  <c r="C3" i="4"/>
  <c r="C9" i="2" l="1"/>
  <c r="D8" i="4"/>
  <c r="D4" i="3"/>
  <c r="E4" i="4"/>
  <c r="B8" i="2"/>
  <c r="D8" i="2" s="1"/>
  <c r="B7" i="4"/>
  <c r="B5" i="3" l="1"/>
  <c r="C5" i="3" s="1"/>
  <c r="C4" i="4"/>
  <c r="B9" i="2"/>
  <c r="D9" i="2" s="1"/>
  <c r="B8" i="4"/>
  <c r="C10" i="2"/>
  <c r="D9" i="4"/>
  <c r="B10" i="2" l="1"/>
  <c r="D10" i="2" s="1"/>
  <c r="B9" i="4"/>
  <c r="C11" i="2"/>
  <c r="D11" i="4" s="1"/>
  <c r="D10" i="4"/>
  <c r="D5" i="3"/>
  <c r="E5" i="4"/>
  <c r="B6" i="3" l="1"/>
  <c r="C6" i="3" s="1"/>
  <c r="C5" i="4"/>
  <c r="B11" i="2"/>
  <c r="D11" i="2" s="1"/>
  <c r="B11" i="4" s="1"/>
  <c r="B10" i="4"/>
  <c r="D6" i="3" l="1"/>
  <c r="E6" i="4"/>
  <c r="B7" i="3" l="1"/>
  <c r="C7" i="3" s="1"/>
  <c r="C6" i="4"/>
  <c r="D7" i="3" l="1"/>
  <c r="E7" i="4"/>
  <c r="B8" i="3" l="1"/>
  <c r="C7" i="4"/>
  <c r="C8" i="3" l="1"/>
  <c r="E8" i="4" s="1"/>
  <c r="D8" i="3" l="1"/>
  <c r="B9" i="3" l="1"/>
  <c r="C8" i="4"/>
  <c r="C9" i="3" l="1"/>
  <c r="E9" i="4" s="1"/>
  <c r="D9" i="3" l="1"/>
  <c r="B10" i="3" l="1"/>
  <c r="C10" i="3" s="1"/>
  <c r="C9" i="4"/>
  <c r="D10" i="3" l="1"/>
  <c r="E10" i="4"/>
  <c r="B11" i="3" l="1"/>
  <c r="C10" i="4"/>
  <c r="C11" i="3" l="1"/>
  <c r="E11" i="4" s="1"/>
  <c r="D11" i="3" l="1"/>
  <c r="C11" i="4" s="1"/>
</calcChain>
</file>

<file path=xl/sharedStrings.xml><?xml version="1.0" encoding="utf-8"?>
<sst xmlns="http://schemas.openxmlformats.org/spreadsheetml/2006/main" count="21" uniqueCount="17">
  <si>
    <t>Asset Cost</t>
  </si>
  <si>
    <t>Scrap Value</t>
  </si>
  <si>
    <t>Total Asset price</t>
  </si>
  <si>
    <t>Depreciation Cost</t>
  </si>
  <si>
    <t xml:space="preserve">Year </t>
  </si>
  <si>
    <t>Opening Balance</t>
  </si>
  <si>
    <t>Depreciation Expense</t>
  </si>
  <si>
    <t>Closing Balance</t>
  </si>
  <si>
    <t>_LifeSpan</t>
  </si>
  <si>
    <t>Depreciation Rate</t>
  </si>
  <si>
    <t>Year</t>
  </si>
  <si>
    <t>SL Closing Balance</t>
  </si>
  <si>
    <t>DB Closing Balance</t>
  </si>
  <si>
    <t>SL Expenses</t>
  </si>
  <si>
    <t>DB Expenses</t>
  </si>
  <si>
    <t>Additional Asset Cost</t>
  </si>
  <si>
    <t>Asset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</si>
</sst>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Straight</a:t>
            </a:r>
            <a:r>
              <a:rPr lang="en-US" baseline="0"/>
              <a:t> Line VS Diminishing Balance</a:t>
            </a:r>
            <a:endParaRPr lang="en-US"/>
          </a:p>
        </c:rich>
      </c:tx>
      <c:layout>
        <c:manualLayout>
          <c:xMode val="edge"/>
          <c:yMode val="edge"/>
          <c:x val="0.2002845581802274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61592300962369E-2"/>
          <c:y val="0.20412037037037037"/>
          <c:w val="0.80596062992125983"/>
          <c:h val="0.44563174394867311"/>
        </c:manualLayout>
      </c:layout>
      <c:lineChart>
        <c:grouping val="standard"/>
        <c:varyColors val="0"/>
        <c:ser>
          <c:idx val="1"/>
          <c:order val="1"/>
          <c:tx>
            <c:strRef>
              <c:f>Analysis!$B$1</c:f>
              <c:strCache>
                <c:ptCount val="1"/>
                <c:pt idx="0">
                  <c:v>SL Closing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Analysis!$B$2:$B$11</c:f>
              <c:numCache>
                <c:formatCode>General</c:formatCode>
                <c:ptCount val="10"/>
                <c:pt idx="0">
                  <c:v>905000</c:v>
                </c:pt>
                <c:pt idx="1">
                  <c:v>810000</c:v>
                </c:pt>
                <c:pt idx="2">
                  <c:v>715000</c:v>
                </c:pt>
                <c:pt idx="3">
                  <c:v>620000</c:v>
                </c:pt>
                <c:pt idx="4">
                  <c:v>525000</c:v>
                </c:pt>
                <c:pt idx="5">
                  <c:v>430000</c:v>
                </c:pt>
                <c:pt idx="6">
                  <c:v>335000</c:v>
                </c:pt>
                <c:pt idx="7">
                  <c:v>240000</c:v>
                </c:pt>
                <c:pt idx="8">
                  <c:v>145000</c:v>
                </c:pt>
                <c:pt idx="9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C-4DD7-80A6-C2055047918F}"/>
            </c:ext>
          </c:extLst>
        </c:ser>
        <c:ser>
          <c:idx val="2"/>
          <c:order val="2"/>
          <c:tx>
            <c:strRef>
              <c:f>Analysis!$C$1</c:f>
              <c:strCache>
                <c:ptCount val="1"/>
                <c:pt idx="0">
                  <c:v>DB Closing 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Analysis!$C$2:$C$11</c:f>
              <c:numCache>
                <c:formatCode>0.00</c:formatCode>
                <c:ptCount val="10"/>
                <c:pt idx="0">
                  <c:v>741134.44910694775</c:v>
                </c:pt>
                <c:pt idx="1">
                  <c:v>549280.27165305894</c:v>
                </c:pt>
                <c:pt idx="2">
                  <c:v>407090.5315369044</c:v>
                </c:pt>
                <c:pt idx="3">
                  <c:v>301708.81682725815</c:v>
                </c:pt>
                <c:pt idx="4">
                  <c:v>223606.79774997896</c:v>
                </c:pt>
                <c:pt idx="5">
                  <c:v>165722.70086699934</c:v>
                </c:pt>
                <c:pt idx="6">
                  <c:v>122822.80261157904</c:v>
                </c:pt>
                <c:pt idx="7">
                  <c:v>91028.210151304011</c:v>
                </c:pt>
                <c:pt idx="8">
                  <c:v>67464.142383678161</c:v>
                </c:pt>
                <c:pt idx="9" formatCode="General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2C-4DD7-80A6-C2055047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66128"/>
        <c:axId val="47866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Analysis!$A$1</c15:sqref>
                        </c15:formulaRef>
                      </c:ext>
                    </c:extLst>
                    <c:strCache>
                      <c:ptCount val="1"/>
                      <c:pt idx="0">
                        <c:v>Year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Analysis!$A$2:$A$11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2C-4DD7-80A6-C205504791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Analysis!$D$1</c15:sqref>
                        </c15:formulaRef>
                      </c:ext>
                    </c:extLst>
                    <c:strCache>
                      <c:ptCount val="1"/>
                      <c:pt idx="0">
                        <c:v>SL Expenses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95000</c:v>
                      </c:pt>
                      <c:pt idx="1">
                        <c:v>95000</c:v>
                      </c:pt>
                      <c:pt idx="2">
                        <c:v>95000</c:v>
                      </c:pt>
                      <c:pt idx="3">
                        <c:v>95000</c:v>
                      </c:pt>
                      <c:pt idx="4">
                        <c:v>95000</c:v>
                      </c:pt>
                      <c:pt idx="5">
                        <c:v>95000</c:v>
                      </c:pt>
                      <c:pt idx="6">
                        <c:v>95000</c:v>
                      </c:pt>
                      <c:pt idx="7">
                        <c:v>95000</c:v>
                      </c:pt>
                      <c:pt idx="8">
                        <c:v>95000</c:v>
                      </c:pt>
                      <c:pt idx="9">
                        <c:v>95000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52C-4DD7-80A6-C2055047918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Analysis!$E$1</c15:sqref>
                        </c15:formulaRef>
                      </c:ext>
                    </c:extLst>
                    <c:strCache>
                      <c:ptCount val="1"/>
                      <c:pt idx="0">
                        <c:v>DB Expenses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258865.55089305231</c:v>
                      </c:pt>
                      <c:pt idx="1">
                        <c:v>191854.17745388887</c:v>
                      </c:pt>
                      <c:pt idx="2">
                        <c:v>142189.74011615451</c:v>
                      </c:pt>
                      <c:pt idx="3">
                        <c:v>105381.71470964624</c:v>
                      </c:pt>
                      <c:pt idx="4">
                        <c:v>78102.019077279183</c:v>
                      </c:pt>
                      <c:pt idx="5">
                        <c:v>57884.096882979633</c:v>
                      </c:pt>
                      <c:pt idx="6">
                        <c:v>42899.898255420296</c:v>
                      </c:pt>
                      <c:pt idx="7">
                        <c:v>31794.592460275031</c:v>
                      </c:pt>
                      <c:pt idx="8">
                        <c:v>23564.067767625849</c:v>
                      </c:pt>
                      <c:pt idx="9">
                        <c:v>17464.142383678165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52C-4DD7-80A6-C2055047918F}"/>
                  </c:ext>
                </c:extLst>
              </c15:ser>
            </c15:filteredLineSeries>
          </c:ext>
        </c:extLst>
      </c:lineChart>
      <c:catAx>
        <c:axId val="4786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6960"/>
        <c:crosses val="autoZero"/>
        <c:auto val="1"/>
        <c:lblAlgn val="ctr"/>
        <c:lblOffset val="100"/>
        <c:noMultiLvlLbl val="0"/>
      </c:catAx>
      <c:valAx>
        <c:axId val="478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59571303587052"/>
          <c:y val="0.77711650627004958"/>
          <c:w val="0.42570953630796154"/>
          <c:h val="0.20081291921843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</c:f>
              <c:strCache>
                <c:ptCount val="1"/>
                <c:pt idx="0">
                  <c:v>Year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9-49A0-8E07-C31E0E5D1F4B}"/>
            </c:ext>
          </c:extLst>
        </c:ser>
        <c:ser>
          <c:idx val="1"/>
          <c:order val="1"/>
          <c:tx>
            <c:strRef>
              <c:f>Analysis!$D$1</c:f>
              <c:strCache>
                <c:ptCount val="1"/>
                <c:pt idx="0">
                  <c:v>SL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Analysis!$D$2:$D$11</c:f>
              <c:numCache>
                <c:formatCode>General</c:formatCode>
                <c:ptCount val="10"/>
                <c:pt idx="0">
                  <c:v>95000</c:v>
                </c:pt>
                <c:pt idx="1">
                  <c:v>95000</c:v>
                </c:pt>
                <c:pt idx="2">
                  <c:v>95000</c:v>
                </c:pt>
                <c:pt idx="3">
                  <c:v>95000</c:v>
                </c:pt>
                <c:pt idx="4">
                  <c:v>95000</c:v>
                </c:pt>
                <c:pt idx="5">
                  <c:v>95000</c:v>
                </c:pt>
                <c:pt idx="6">
                  <c:v>95000</c:v>
                </c:pt>
                <c:pt idx="7">
                  <c:v>95000</c:v>
                </c:pt>
                <c:pt idx="8">
                  <c:v>95000</c:v>
                </c:pt>
                <c:pt idx="9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9-49A0-8E07-C31E0E5D1F4B}"/>
            </c:ext>
          </c:extLst>
        </c:ser>
        <c:ser>
          <c:idx val="2"/>
          <c:order val="2"/>
          <c:tx>
            <c:strRef>
              <c:f>Analysis!$E$1</c:f>
              <c:strCache>
                <c:ptCount val="1"/>
                <c:pt idx="0">
                  <c:v>DB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Analysis!$E$2:$E$11</c:f>
              <c:numCache>
                <c:formatCode>General</c:formatCode>
                <c:ptCount val="10"/>
                <c:pt idx="0">
                  <c:v>258865.55089305231</c:v>
                </c:pt>
                <c:pt idx="1">
                  <c:v>191854.17745388887</c:v>
                </c:pt>
                <c:pt idx="2">
                  <c:v>142189.74011615451</c:v>
                </c:pt>
                <c:pt idx="3">
                  <c:v>105381.71470964624</c:v>
                </c:pt>
                <c:pt idx="4">
                  <c:v>78102.019077279183</c:v>
                </c:pt>
                <c:pt idx="5">
                  <c:v>57884.096882979633</c:v>
                </c:pt>
                <c:pt idx="6">
                  <c:v>42899.898255420296</c:v>
                </c:pt>
                <c:pt idx="7">
                  <c:v>31794.592460275031</c:v>
                </c:pt>
                <c:pt idx="8">
                  <c:v>23564.067767625849</c:v>
                </c:pt>
                <c:pt idx="9">
                  <c:v>17464.142383678165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9-49A0-8E07-C31E0E5D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70560"/>
        <c:axId val="135766400"/>
      </c:barChart>
      <c:catAx>
        <c:axId val="13577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6400"/>
        <c:crosses val="autoZero"/>
        <c:auto val="1"/>
        <c:lblAlgn val="ctr"/>
        <c:lblOffset val="100"/>
        <c:noMultiLvlLbl val="0"/>
      </c:catAx>
      <c:valAx>
        <c:axId val="1357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360045</xdr:colOff>
      <xdr:row>11</xdr:row>
      <xdr:rowOff>167640</xdr:rowOff>
    </xdr:from>
    <xdr:to>
      <xdr:col>14</xdr:col>
      <xdr:colOff>55245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9525</xdr:rowOff>
    </xdr:from>
    <xdr:to>
      <xdr:col>5</xdr:col>
      <xdr:colOff>152400</xdr:colOff>
      <xdr:row>26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nfigTable" displayName="ConfigTable" ref="A1:H2" totalsRowShown="0" dataDxfId="10">
  <autoFilter ref="A1:H2" xr:uid="{00000000-0009-0000-0100-000002000000}"/>
  <tableColumns count="8">
    <tableColumn id="1" xr3:uid="{00000000-0010-0000-0000-000001000000}" name="Asset Cost" dataDxfId="9"/>
    <tableColumn id="2" xr3:uid="{00000000-0010-0000-0000-000002000000}" name="Additional Asset Cost" dataDxfId="8"/>
    <tableColumn id="3" xr3:uid="{00000000-0010-0000-0000-000003000000}" name="Asset Price" dataDxfId="7">
      <calculatedColumnFormula>ConfigTable[Asset Cost]+ConfigTable[Additional Asset Cost]</calculatedColumnFormula>
    </tableColumn>
    <tableColumn id="4" xr3:uid="{00000000-0010-0000-0000-000004000000}" name="Scrap Value" dataDxfId="6"/>
    <tableColumn id="5" xr3:uid="{00000000-0010-0000-0000-000005000000}" name="_LifeSpan" dataDxfId="5"/>
    <tableColumn id="6" xr3:uid="{00000000-0010-0000-0000-000006000000}" name="Total Asset price" dataDxfId="4">
      <calculatedColumnFormula>ConfigTable[Asset Cost]+ConfigTable[Additional Asset Cost]+ConfigTable[Asset Price]</calculatedColumnFormula>
    </tableColumn>
    <tableColumn id="7" xr3:uid="{00000000-0010-0000-0000-000007000000}" name="Depreciation Cost" dataDxfId="3">
      <calculatedColumnFormula>(F2-D2)/E2</calculatedColumnFormula>
    </tableColumn>
    <tableColumn id="8" xr3:uid="{00000000-0010-0000-0000-000008000000}" name="Depreciation Rate" dataDxfId="2">
      <calculatedColumnFormula>1-(D2/F2)^(1/E2)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chedule_DB" displayName="Schedule_DB" ref="A1:D11" totalsRowShown="0">
  <autoFilter ref="A1:D11" xr:uid="{00000000-0009-0000-0100-000001000000}"/>
  <tableColumns count="4">
    <tableColumn id="1" xr3:uid="{00000000-0010-0000-0100-000001000000}" name="Year"/>
    <tableColumn id="2" xr3:uid="{00000000-0010-0000-0100-000002000000}" name="Opening Balance">
      <calculatedColumnFormula>D1</calculatedColumnFormula>
    </tableColumn>
    <tableColumn id="3" xr3:uid="{00000000-0010-0000-0100-000003000000}" name="Depreciation Expense">
      <calculatedColumnFormula>B2*ConfigTable[Depreciation Rate]</calculatedColumnFormula>
    </tableColumn>
    <tableColumn id="4" xr3:uid="{00000000-0010-0000-0100-000004000000}" name="Closing Balance">
      <calculatedColumnFormula>B2-C2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hedule_SL" displayName="Schedule_SL" ref="A1:D11" totalsRowShown="0">
  <autoFilter ref="A1:D11" xr:uid="{00000000-0009-0000-0100-000003000000}"/>
  <tableColumns count="4">
    <tableColumn id="1" xr3:uid="{00000000-0010-0000-0200-000001000000}" name="Year "/>
    <tableColumn id="2" xr3:uid="{00000000-0010-0000-0200-000002000000}" name="Opening Balance">
      <calculatedColumnFormula>D1</calculatedColumnFormula>
    </tableColumn>
    <tableColumn id="3" xr3:uid="{00000000-0010-0000-0200-000003000000}" name="Depreciation Expense">
      <calculatedColumnFormula>C1</calculatedColumnFormula>
    </tableColumn>
    <tableColumn id="4" xr3:uid="{00000000-0010-0000-0200-000004000000}" name="Closing Balance">
      <calculatedColumnFormula>B2-C2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alysis" displayName="Analysis" ref="A1:E11" totalsRowShown="0">
  <autoFilter ref="A1:E11" xr:uid="{00000000-0009-0000-0100-000004000000}"/>
  <tableColumns count="5">
    <tableColumn id="1" xr3:uid="{00000000-0010-0000-0300-000001000000}" name="Year "/>
    <tableColumn id="2" xr3:uid="{00000000-0010-0000-0300-000002000000}" name="SL Closing Balance">
      <calculatedColumnFormula>Schedule_SL[[#This Row],[Closing Balance]]</calculatedColumnFormula>
    </tableColumn>
    <tableColumn id="3" xr3:uid="{00000000-0010-0000-0300-000003000000}" name="DB Closing Balance">
      <calculatedColumnFormula>Schedule_DB[[#This Row],[Closing Balance]]</calculatedColumnFormula>
    </tableColumn>
    <tableColumn id="4" xr3:uid="{00000000-0010-0000-0300-000004000000}" name="SL Expenses" dataDxfId="1">
      <calculatedColumnFormula>Schedule_SL[[#This Row],[Depreciation Expense]]</calculatedColumnFormula>
    </tableColumn>
    <tableColumn id="5" xr3:uid="{00000000-0010-0000-0300-000005000000}" name="DB Expenses" dataDxfId="0">
      <calculatedColumnFormula>Schedule_DB[[#This Row],[Depreciation Expense]]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zoomScaleNormal="100" workbookViewId="0">
      <selection activeCell="D2" sqref="D2"/>
    </sheetView>
  </sheetViews>
  <sheetFormatPr defaultRowHeight="14.4" x14ac:dyDescent="0.3"/>
  <cols>
    <col min="1" max="1" width="12.33203125" customWidth="1"/>
    <col min="2" max="2" width="20.44140625" customWidth="1"/>
    <col min="3" max="3" width="17.44140625" customWidth="1"/>
    <col min="4" max="4" width="13.109375" bestFit="1" customWidth="1"/>
    <col min="5" max="5" width="11.44140625" bestFit="1" customWidth="1"/>
    <col min="6" max="6" width="17" bestFit="1" customWidth="1"/>
    <col min="7" max="7" width="18.109375" bestFit="1" customWidth="1"/>
    <col min="8" max="8" width="18.21875" bestFit="1" customWidth="1"/>
  </cols>
  <sheetData>
    <row r="1" spans="1:8" x14ac:dyDescent="0.3">
      <c r="A1" t="s">
        <v>0</v>
      </c>
      <c r="B1" t="s">
        <v>15</v>
      </c>
      <c r="C1" t="s">
        <v>16</v>
      </c>
      <c r="D1" t="s">
        <v>1</v>
      </c>
      <c r="E1" t="s">
        <v>8</v>
      </c>
      <c r="F1" t="s">
        <v>2</v>
      </c>
      <c r="G1" t="s">
        <v>3</v>
      </c>
      <c r="H1" t="s">
        <v>9</v>
      </c>
    </row>
    <row r="2" spans="1:8" x14ac:dyDescent="0.3">
      <c r="A2" s="1">
        <v>450000</v>
      </c>
      <c r="B2" s="1">
        <v>50000</v>
      </c>
      <c r="C2" s="1">
        <f>ConfigTable[Asset Cost]+ConfigTable[Additional Asset Cost]</f>
        <v>500000</v>
      </c>
      <c r="D2" s="1">
        <v>50000</v>
      </c>
      <c r="E2" s="1">
        <v>10</v>
      </c>
      <c r="F2" s="1">
        <f>ConfigTable[Asset Cost]+ConfigTable[Additional Asset Cost]+ConfigTable[Asset Price]</f>
        <v>1000000</v>
      </c>
      <c r="G2" s="1">
        <f>(F2-D2)/E2</f>
        <v>95000</v>
      </c>
      <c r="H2" s="2">
        <f>1-(D2/F2)^(1/E2)</f>
        <v>0.2588655508930523</v>
      </c>
    </row>
  </sheetData>
  <pageMargins left="0.7" right="0.7" top="0.75" bottom="0.75" header="0.3" footer="0.3"/>
  <pageSetup orientation="portrait" r:id="rId1"/>
  <headerFooter>
    <oddHeader>&amp;LLife Span(Years)&amp;CTransportation Cost&amp;RScrap Value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8" sqref="B8"/>
    </sheetView>
  </sheetViews>
  <sheetFormatPr defaultRowHeight="14.4" x14ac:dyDescent="0.3"/>
  <cols>
    <col min="2" max="2" width="18" customWidth="1"/>
    <col min="3" max="3" width="22.44140625" customWidth="1"/>
    <col min="4" max="4" width="16.88671875" customWidth="1"/>
  </cols>
  <sheetData>
    <row r="1" spans="1:4" x14ac:dyDescent="0.3">
      <c r="A1" t="s">
        <v>10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f>ConfigTable[Total Asset price]</f>
        <v>1000000</v>
      </c>
      <c r="C2">
        <f>B2*ConfigTable[Depreciation Rate]</f>
        <v>258865.55089305231</v>
      </c>
      <c r="D2">
        <f>B2-C2</f>
        <v>741134.44910694775</v>
      </c>
    </row>
    <row r="3" spans="1:4" x14ac:dyDescent="0.3">
      <c r="A3">
        <v>2</v>
      </c>
      <c r="B3">
        <f>D2</f>
        <v>741134.44910694775</v>
      </c>
      <c r="C3">
        <f>B3*ConfigTable[Depreciation Rate]</f>
        <v>191854.17745388887</v>
      </c>
      <c r="D3">
        <f>B3-C3</f>
        <v>549280.27165305894</v>
      </c>
    </row>
    <row r="4" spans="1:4" x14ac:dyDescent="0.3">
      <c r="A4">
        <v>3</v>
      </c>
      <c r="B4">
        <f t="shared" ref="B4:B11" si="0">D3</f>
        <v>549280.27165305894</v>
      </c>
      <c r="C4">
        <f>B4*ConfigTable[Depreciation Rate]</f>
        <v>142189.74011615451</v>
      </c>
      <c r="D4">
        <f t="shared" ref="D4:D11" si="1">B4-C4</f>
        <v>407090.5315369044</v>
      </c>
    </row>
    <row r="5" spans="1:4" x14ac:dyDescent="0.3">
      <c r="A5">
        <v>4</v>
      </c>
      <c r="B5">
        <f t="shared" si="0"/>
        <v>407090.5315369044</v>
      </c>
      <c r="C5">
        <f>B5*ConfigTable[Depreciation Rate]</f>
        <v>105381.71470964624</v>
      </c>
      <c r="D5">
        <f t="shared" si="1"/>
        <v>301708.81682725815</v>
      </c>
    </row>
    <row r="6" spans="1:4" x14ac:dyDescent="0.3">
      <c r="A6">
        <v>5</v>
      </c>
      <c r="B6">
        <f t="shared" si="0"/>
        <v>301708.81682725815</v>
      </c>
      <c r="C6">
        <f>B6*ConfigTable[Depreciation Rate]</f>
        <v>78102.019077279183</v>
      </c>
      <c r="D6">
        <f t="shared" si="1"/>
        <v>223606.79774997896</v>
      </c>
    </row>
    <row r="7" spans="1:4" x14ac:dyDescent="0.3">
      <c r="A7">
        <v>6</v>
      </c>
      <c r="B7">
        <f t="shared" si="0"/>
        <v>223606.79774997896</v>
      </c>
      <c r="C7">
        <f>B7*ConfigTable[Depreciation Rate]</f>
        <v>57884.096882979633</v>
      </c>
      <c r="D7">
        <f t="shared" si="1"/>
        <v>165722.70086699934</v>
      </c>
    </row>
    <row r="8" spans="1:4" x14ac:dyDescent="0.3">
      <c r="A8">
        <v>7</v>
      </c>
      <c r="B8">
        <f t="shared" si="0"/>
        <v>165722.70086699934</v>
      </c>
      <c r="C8">
        <f>B8*ConfigTable[Depreciation Rate]</f>
        <v>42899.898255420296</v>
      </c>
      <c r="D8">
        <f t="shared" si="1"/>
        <v>122822.80261157904</v>
      </c>
    </row>
    <row r="9" spans="1:4" x14ac:dyDescent="0.3">
      <c r="A9">
        <v>8</v>
      </c>
      <c r="B9">
        <f t="shared" si="0"/>
        <v>122822.80261157904</v>
      </c>
      <c r="C9">
        <f>B9*ConfigTable[Depreciation Rate]</f>
        <v>31794.592460275031</v>
      </c>
      <c r="D9">
        <f t="shared" si="1"/>
        <v>91028.210151304011</v>
      </c>
    </row>
    <row r="10" spans="1:4" x14ac:dyDescent="0.3">
      <c r="A10">
        <v>9</v>
      </c>
      <c r="B10">
        <f t="shared" si="0"/>
        <v>91028.210151304011</v>
      </c>
      <c r="C10">
        <f>B10*ConfigTable[Depreciation Rate]</f>
        <v>23564.067767625849</v>
      </c>
      <c r="D10">
        <f t="shared" si="1"/>
        <v>67464.142383678161</v>
      </c>
    </row>
    <row r="11" spans="1:4" x14ac:dyDescent="0.3">
      <c r="A11">
        <v>10</v>
      </c>
      <c r="B11">
        <f t="shared" si="0"/>
        <v>67464.142383678161</v>
      </c>
      <c r="C11">
        <f>B11*ConfigTable[Depreciation Rate]</f>
        <v>17464.142383678165</v>
      </c>
      <c r="D11">
        <f t="shared" si="1"/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12" sqref="G12"/>
    </sheetView>
  </sheetViews>
  <sheetFormatPr defaultRowHeight="14.4" x14ac:dyDescent="0.3"/>
  <cols>
    <col min="2" max="2" width="18" customWidth="1"/>
    <col min="3" max="3" width="22.44140625" customWidth="1"/>
    <col min="4" max="4" width="16.886718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f>ConfigTable[Total Asset price]</f>
        <v>1000000</v>
      </c>
      <c r="C2">
        <f>ConfigTable[Depreciation Cost]</f>
        <v>95000</v>
      </c>
      <c r="D2">
        <f>B2-C2</f>
        <v>905000</v>
      </c>
    </row>
    <row r="3" spans="1:4" x14ac:dyDescent="0.3">
      <c r="A3">
        <v>2</v>
      </c>
      <c r="B3">
        <f>D2</f>
        <v>905000</v>
      </c>
      <c r="C3">
        <f>C2</f>
        <v>95000</v>
      </c>
      <c r="D3">
        <f>B3-C3</f>
        <v>810000</v>
      </c>
    </row>
    <row r="4" spans="1:4" x14ac:dyDescent="0.3">
      <c r="A4">
        <v>3</v>
      </c>
      <c r="B4">
        <f t="shared" ref="B4:B9" si="0">D3</f>
        <v>810000</v>
      </c>
      <c r="C4">
        <f t="shared" ref="C4:C9" si="1">C3</f>
        <v>95000</v>
      </c>
      <c r="D4">
        <f t="shared" ref="D4:D9" si="2">B4-C4</f>
        <v>715000</v>
      </c>
    </row>
    <row r="5" spans="1:4" x14ac:dyDescent="0.3">
      <c r="A5">
        <v>4</v>
      </c>
      <c r="B5">
        <f t="shared" si="0"/>
        <v>715000</v>
      </c>
      <c r="C5">
        <f t="shared" si="1"/>
        <v>95000</v>
      </c>
      <c r="D5">
        <f t="shared" si="2"/>
        <v>620000</v>
      </c>
    </row>
    <row r="6" spans="1:4" x14ac:dyDescent="0.3">
      <c r="A6">
        <v>5</v>
      </c>
      <c r="B6">
        <f t="shared" si="0"/>
        <v>620000</v>
      </c>
      <c r="C6">
        <f t="shared" si="1"/>
        <v>95000</v>
      </c>
      <c r="D6">
        <f t="shared" si="2"/>
        <v>525000</v>
      </c>
    </row>
    <row r="7" spans="1:4" x14ac:dyDescent="0.3">
      <c r="A7">
        <v>6</v>
      </c>
      <c r="B7">
        <f t="shared" si="0"/>
        <v>525000</v>
      </c>
      <c r="C7">
        <f t="shared" si="1"/>
        <v>95000</v>
      </c>
      <c r="D7">
        <f t="shared" si="2"/>
        <v>430000</v>
      </c>
    </row>
    <row r="8" spans="1:4" x14ac:dyDescent="0.3">
      <c r="A8">
        <v>7</v>
      </c>
      <c r="B8">
        <f t="shared" si="0"/>
        <v>430000</v>
      </c>
      <c r="C8">
        <f t="shared" si="1"/>
        <v>95000</v>
      </c>
      <c r="D8">
        <f t="shared" si="2"/>
        <v>335000</v>
      </c>
    </row>
    <row r="9" spans="1:4" x14ac:dyDescent="0.3">
      <c r="A9">
        <v>8</v>
      </c>
      <c r="B9">
        <f t="shared" si="0"/>
        <v>335000</v>
      </c>
      <c r="C9">
        <f t="shared" si="1"/>
        <v>95000</v>
      </c>
      <c r="D9">
        <f t="shared" si="2"/>
        <v>240000</v>
      </c>
    </row>
    <row r="10" spans="1:4" x14ac:dyDescent="0.3">
      <c r="A10">
        <v>9</v>
      </c>
      <c r="B10">
        <f t="shared" ref="B10:B11" si="3">D9</f>
        <v>240000</v>
      </c>
      <c r="C10">
        <f t="shared" ref="C10:C11" si="4">C9</f>
        <v>95000</v>
      </c>
      <c r="D10">
        <f t="shared" ref="D10:D11" si="5">B10-C10</f>
        <v>145000</v>
      </c>
    </row>
    <row r="11" spans="1:4" x14ac:dyDescent="0.3">
      <c r="A11">
        <v>10</v>
      </c>
      <c r="B11">
        <f t="shared" si="3"/>
        <v>145000</v>
      </c>
      <c r="C11">
        <f t="shared" si="4"/>
        <v>95000</v>
      </c>
      <c r="D11">
        <f t="shared" si="5"/>
        <v>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zoomScaleNormal="100" workbookViewId="0">
      <selection activeCell="J3" sqref="J3"/>
    </sheetView>
  </sheetViews>
  <sheetFormatPr defaultRowHeight="14.4" x14ac:dyDescent="0.3"/>
  <cols>
    <col min="2" max="2" width="19.109375" customWidth="1"/>
    <col min="3" max="3" width="19.6640625" customWidth="1"/>
    <col min="4" max="4" width="13.21875" bestFit="1" customWidth="1"/>
    <col min="5" max="5" width="13.6640625" bestFit="1" customWidth="1"/>
  </cols>
  <sheetData>
    <row r="1" spans="1:5" x14ac:dyDescent="0.3">
      <c r="A1" t="s">
        <v>4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>
        <v>1</v>
      </c>
      <c r="B2">
        <f>Schedule_SL[[#This Row],[Closing Balance]]</f>
        <v>905000</v>
      </c>
      <c r="C2" s="4">
        <f>Schedule_DB[[#This Row],[Closing Balance]]</f>
        <v>741134.44910694775</v>
      </c>
      <c r="D2">
        <f>Schedule_SL[[#This Row],[Depreciation Expense]]</f>
        <v>95000</v>
      </c>
      <c r="E2">
        <f>Schedule_DB[[#This Row],[Depreciation Expense]]</f>
        <v>258865.55089305231</v>
      </c>
    </row>
    <row r="3" spans="1:5" x14ac:dyDescent="0.3">
      <c r="A3">
        <v>2</v>
      </c>
      <c r="B3">
        <f>Schedule_SL[[#This Row],[Closing Balance]]</f>
        <v>810000</v>
      </c>
      <c r="C3" s="4">
        <f>Schedule_DB[[#This Row],[Closing Balance]]</f>
        <v>549280.27165305894</v>
      </c>
      <c r="D3">
        <f>Schedule_SL[[#This Row],[Depreciation Expense]]</f>
        <v>95000</v>
      </c>
      <c r="E3">
        <f>Schedule_DB[[#This Row],[Depreciation Expense]]</f>
        <v>191854.17745388887</v>
      </c>
    </row>
    <row r="4" spans="1:5" x14ac:dyDescent="0.3">
      <c r="A4">
        <v>3</v>
      </c>
      <c r="B4">
        <f>Schedule_SL[[#This Row],[Closing Balance]]</f>
        <v>715000</v>
      </c>
      <c r="C4" s="4">
        <f>Schedule_DB[[#This Row],[Closing Balance]]</f>
        <v>407090.5315369044</v>
      </c>
      <c r="D4">
        <f>Schedule_SL[[#This Row],[Depreciation Expense]]</f>
        <v>95000</v>
      </c>
      <c r="E4">
        <f>Schedule_DB[[#This Row],[Depreciation Expense]]</f>
        <v>142189.74011615451</v>
      </c>
    </row>
    <row r="5" spans="1:5" x14ac:dyDescent="0.3">
      <c r="A5">
        <v>4</v>
      </c>
      <c r="B5">
        <f>Schedule_SL[[#This Row],[Closing Balance]]</f>
        <v>620000</v>
      </c>
      <c r="C5" s="4">
        <f>Schedule_DB[[#This Row],[Closing Balance]]</f>
        <v>301708.81682725815</v>
      </c>
      <c r="D5">
        <f>Schedule_SL[[#This Row],[Depreciation Expense]]</f>
        <v>95000</v>
      </c>
      <c r="E5">
        <f>Schedule_DB[[#This Row],[Depreciation Expense]]</f>
        <v>105381.71470964624</v>
      </c>
    </row>
    <row r="6" spans="1:5" x14ac:dyDescent="0.3">
      <c r="A6">
        <v>5</v>
      </c>
      <c r="B6">
        <f>Schedule_SL[[#This Row],[Closing Balance]]</f>
        <v>525000</v>
      </c>
      <c r="C6" s="4">
        <f>Schedule_DB[[#This Row],[Closing Balance]]</f>
        <v>223606.79774997896</v>
      </c>
      <c r="D6">
        <f>Schedule_SL[[#This Row],[Depreciation Expense]]</f>
        <v>95000</v>
      </c>
      <c r="E6">
        <f>Schedule_DB[[#This Row],[Depreciation Expense]]</f>
        <v>78102.019077279183</v>
      </c>
    </row>
    <row r="7" spans="1:5" x14ac:dyDescent="0.3">
      <c r="A7">
        <v>6</v>
      </c>
      <c r="B7">
        <f>Schedule_SL[[#This Row],[Closing Balance]]</f>
        <v>430000</v>
      </c>
      <c r="C7" s="4">
        <f>Schedule_DB[[#This Row],[Closing Balance]]</f>
        <v>165722.70086699934</v>
      </c>
      <c r="D7">
        <f>Schedule_SL[[#This Row],[Depreciation Expense]]</f>
        <v>95000</v>
      </c>
      <c r="E7">
        <f>Schedule_DB[[#This Row],[Depreciation Expense]]</f>
        <v>57884.096882979633</v>
      </c>
    </row>
    <row r="8" spans="1:5" x14ac:dyDescent="0.3">
      <c r="A8">
        <v>7</v>
      </c>
      <c r="B8">
        <f>Schedule_SL[[#This Row],[Closing Balance]]</f>
        <v>335000</v>
      </c>
      <c r="C8" s="4">
        <f>Schedule_DB[[#This Row],[Closing Balance]]</f>
        <v>122822.80261157904</v>
      </c>
      <c r="D8">
        <f>Schedule_SL[[#This Row],[Depreciation Expense]]</f>
        <v>95000</v>
      </c>
      <c r="E8">
        <f>Schedule_DB[[#This Row],[Depreciation Expense]]</f>
        <v>42899.898255420296</v>
      </c>
    </row>
    <row r="9" spans="1:5" x14ac:dyDescent="0.3">
      <c r="A9">
        <v>8</v>
      </c>
      <c r="B9">
        <f>Schedule_SL[[#This Row],[Closing Balance]]</f>
        <v>240000</v>
      </c>
      <c r="C9" s="4">
        <f>Schedule_DB[[#This Row],[Closing Balance]]</f>
        <v>91028.210151304011</v>
      </c>
      <c r="D9">
        <f>Schedule_SL[[#This Row],[Depreciation Expense]]</f>
        <v>95000</v>
      </c>
      <c r="E9">
        <f>Schedule_DB[[#This Row],[Depreciation Expense]]</f>
        <v>31794.592460275031</v>
      </c>
    </row>
    <row r="10" spans="1:5" x14ac:dyDescent="0.3">
      <c r="A10">
        <v>9</v>
      </c>
      <c r="B10">
        <f>Schedule_SL[[#This Row],[Closing Balance]]</f>
        <v>145000</v>
      </c>
      <c r="C10" s="4">
        <f>Schedule_DB[[#This Row],[Closing Balance]]</f>
        <v>67464.142383678161</v>
      </c>
      <c r="D10">
        <f>Schedule_SL[[#This Row],[Depreciation Expense]]</f>
        <v>95000</v>
      </c>
      <c r="E10">
        <f>Schedule_DB[[#This Row],[Depreciation Expense]]</f>
        <v>23564.067767625849</v>
      </c>
    </row>
    <row r="11" spans="1:5" x14ac:dyDescent="0.3">
      <c r="A11">
        <v>10</v>
      </c>
      <c r="B11">
        <f>Schedule_SL[[#This Row],[Closing Balance]]</f>
        <v>50000</v>
      </c>
      <c r="C11">
        <f>Schedule_DB[[#This Row],[Closing Balance]]</f>
        <v>50000</v>
      </c>
      <c r="D11">
        <f>Schedule_SL[[#This Row],[Depreciation Expense]]</f>
        <v>95000</v>
      </c>
      <c r="E11">
        <f>Schedule_DB[[#This Row],[Depreciation Expense]]</f>
        <v>17464.142383678165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D4"/>
  <sheetViews>
    <sheetView workbookViewId="0">
      <selection activeCell="D9" sqref="D9"/>
    </sheetView>
  </sheetViews>
  <sheetFormatPr defaultRowHeight="14.4" x14ac:dyDescent="0.3"/>
  <sheetData>
    <row r="4" spans="2:4" x14ac:dyDescent="0.3">
      <c r="B4" s="3"/>
      <c r="C4" s="1"/>
      <c r="D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Schdule_DB</vt:lpstr>
      <vt:lpstr>Schedule_SL</vt:lpstr>
      <vt:lpstr>Analysis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Aashish Kaaley</cp:lastModifiedBy>
  <dcterms:created xsi:type="dcterms:W3CDTF">2026-01-19T11:43:29Z</dcterms:created>
  <dcterms:modified xsi:type="dcterms:W3CDTF">2026-03-22T17:15:56Z</dcterms:modified>
</cp:coreProperties>
</file>